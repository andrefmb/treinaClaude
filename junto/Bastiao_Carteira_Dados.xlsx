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 da Carteira" sheetId="2" state="visible" r:id="rId4"/>
    <sheet name="Apólices" sheetId="3" state="visible" r:id="rId5"/>
    <sheet name="Tomadores" sheetId="4" state="visible" r:id="rId6"/>
    <sheet name="Sinistr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Premissa de entrada (azul). Altere para simular cenários.</t>
        </r>
      </text>
    </comment>
  </commentList>
</comments>
</file>

<file path=xl/sharedStrings.xml><?xml version="1.0" encoding="utf-8"?>
<sst xmlns="http://schemas.openxmlformats.org/spreadsheetml/2006/main" count="414" uniqueCount="172">
  <si>
    <t xml:space="preserve">BASTIÃO SEGURADORA S.A. — Conjunto de dados fictícios para treinamento (seguro garantia)</t>
  </si>
  <si>
    <t xml:space="preserve">ATENÇÃO: TODOS OS DADOS SÃO FICTÍCIOS, criados apenas para treinamento. Seguradora, tomadores, apólices, sinistros e números não existem e não representam nenhuma organização real.</t>
  </si>
  <si>
    <t xml:space="preserve">A empresa (resumo do caso)</t>
  </si>
  <si>
    <t xml:space="preserve">Bastião é uma seguradora brasileira de médio porte especializada em SEGURO GARANTIA, com prêmios emitidos de ~R$ 1,8 bi/ano.</t>
  </si>
  <si>
    <t xml:space="preserve">Ramos: Garantia de Execução de Contrato (carro-chefe), Garantia Judicial, Fiança Locatícia e Riscos de Engenharia.</t>
  </si>
  <si>
    <t xml:space="preserve">Subscrição (underwriting) é o coração do negócio: avaliar o tomador (risco de crédito) e o contrato/edital garantido.</t>
  </si>
  <si>
    <t xml:space="preserve">Situação: a carteira cresce, mas a sinistralidade vem subindo e há forte concentração em Construção Civil e na região Sudeste.</t>
  </si>
  <si>
    <t xml:space="preserve">Decisão em aberto no caso: aprovar (ou não) uma grande garantia de execução para a Construtora Pilar, que já é o maior risco da casa.</t>
  </si>
  <si>
    <t xml:space="preserve">As abas / arquivos deste pacote</t>
  </si>
  <si>
    <t xml:space="preserve">Resumo da Carteira</t>
  </si>
  <si>
    <t xml:space="preserve">KPIs trimestrais: prêmio, sinistralidade, índice combinado, resultado de subscrição. Para visão de board.</t>
  </si>
  <si>
    <t xml:space="preserve">Apólices</t>
  </si>
  <si>
    <t xml:space="preserve">Carteira de apólices: tomador, ramo, setor, importância segurada (IS), prêmio, taxa, vigência, região, status.</t>
  </si>
  <si>
    <t xml:space="preserve">Tomadores</t>
  </si>
  <si>
    <t xml:space="preserve">Indicadores de crédito dos principais tomadores: alavancagem, liquidez, rating, limite e exposição. Para análise de risco/concentração.</t>
  </si>
  <si>
    <t xml:space="preserve">Sinistros</t>
  </si>
  <si>
    <t xml:space="preserve">Avisos de sinistro: apólice, tomador, valor reservado, status, causa. Para resumo ao comitê de sinistros.</t>
  </si>
  <si>
    <t xml:space="preserve">(arquivo) Edital e Tomador</t>
  </si>
  <si>
    <t xml:space="preserve">Documento LONGO: edital + contrato + financeiro da Construtora Pilar. Para o exercício de subscrição.</t>
  </si>
  <si>
    <t xml:space="preserve">(arquivo) Condições Gerais</t>
  </si>
  <si>
    <t xml:space="preserve">Condições gerais do seguro garantia (juridiquês). Para traduzir e extrair exclusões/obrigações.</t>
  </si>
  <si>
    <t xml:space="preserve">Bastião Seguradora — Indicadores Trimestrais da Carteira</t>
  </si>
  <si>
    <t xml:space="preserve">Valores em R$ milhões, exceto onde indicado. DADOS FICTÍCIOS.</t>
  </si>
  <si>
    <t xml:space="preserve">Indicador</t>
  </si>
  <si>
    <t xml:space="preserve">1T24</t>
  </si>
  <si>
    <t xml:space="preserve">2T24</t>
  </si>
  <si>
    <t xml:space="preserve">3T24</t>
  </si>
  <si>
    <t xml:space="preserve">4T24</t>
  </si>
  <si>
    <t xml:space="preserve">1T25</t>
  </si>
  <si>
    <t xml:space="preserve">2T25</t>
  </si>
  <si>
    <t xml:space="preserve">3T25</t>
  </si>
  <si>
    <t xml:space="preserve">4T25</t>
  </si>
  <si>
    <t xml:space="preserve">Prêmio Emitido</t>
  </si>
  <si>
    <t xml:space="preserve">Prêmio Ganho</t>
  </si>
  <si>
    <t xml:space="preserve">Sinistros Incorridos</t>
  </si>
  <si>
    <t xml:space="preserve">Sinistralidade %</t>
  </si>
  <si>
    <t xml:space="preserve">Despesas Operacionais</t>
  </si>
  <si>
    <t xml:space="preserve">Índice de Despesas %</t>
  </si>
  <si>
    <t xml:space="preserve">Índice Combinado %</t>
  </si>
  <si>
    <t xml:space="preserve">Resultado de Subscrição</t>
  </si>
  <si>
    <t xml:space="preserve">Leitura: a Sinistralidade sobe de ~22% para ~42% em 8 trimestres; o Índice Combinado vai de ~58% para ~79%. Ainda há lucro de subscrição, mas a tendência e a concentração são o tema de board.</t>
  </si>
  <si>
    <t xml:space="preserve">Apólice</t>
  </si>
  <si>
    <t xml:space="preserve">Tomador</t>
  </si>
  <si>
    <t xml:space="preserve">Ramo</t>
  </si>
  <si>
    <t xml:space="preserve">Setor do Tomador</t>
  </si>
  <si>
    <t xml:space="preserve">Região</t>
  </si>
  <si>
    <t xml:space="preserve">IS (R$ mm)</t>
  </si>
  <si>
    <t xml:space="preserve">Taxa %</t>
  </si>
  <si>
    <t xml:space="preserve">Prêmio (R$ mil)</t>
  </si>
  <si>
    <t xml:space="preserve">Início Vigência</t>
  </si>
  <si>
    <t xml:space="preserve">Fim Vigência</t>
  </si>
  <si>
    <t xml:space="preserve">Status</t>
  </si>
  <si>
    <t xml:space="preserve">AP-1001</t>
  </si>
  <si>
    <t xml:space="preserve">Construtora Pilar Engenharia</t>
  </si>
  <si>
    <t xml:space="preserve">Garantia de Execução de Contrato</t>
  </si>
  <si>
    <t xml:space="preserve">Construção Civil</t>
  </si>
  <si>
    <t xml:space="preserve">Sudeste</t>
  </si>
  <si>
    <t xml:space="preserve">2024-02-15</t>
  </si>
  <si>
    <t xml:space="preserve">2026-02-15</t>
  </si>
  <si>
    <t xml:space="preserve">Sinistro</t>
  </si>
  <si>
    <t xml:space="preserve">AP-1002</t>
  </si>
  <si>
    <t xml:space="preserve">2026-05-15</t>
  </si>
  <si>
    <t xml:space="preserve">Vigente</t>
  </si>
  <si>
    <t xml:space="preserve">AP-1003</t>
  </si>
  <si>
    <t xml:space="preserve">AP-1004</t>
  </si>
  <si>
    <t xml:space="preserve">AP-1005</t>
  </si>
  <si>
    <t xml:space="preserve">Infra Rodovias do Sul</t>
  </si>
  <si>
    <t xml:space="preserve">Infraestrutura</t>
  </si>
  <si>
    <t xml:space="preserve">Sul</t>
  </si>
  <si>
    <t xml:space="preserve">2026-11-15</t>
  </si>
  <si>
    <t xml:space="preserve">AP-1006</t>
  </si>
  <si>
    <t xml:space="preserve">2024-05-15</t>
  </si>
  <si>
    <t xml:space="preserve">2026-08-15</t>
  </si>
  <si>
    <t xml:space="preserve">AP-1007</t>
  </si>
  <si>
    <t xml:space="preserve">2024-08-15</t>
  </si>
  <si>
    <t xml:space="preserve">AP-1008</t>
  </si>
  <si>
    <t xml:space="preserve">EnerGen Energia</t>
  </si>
  <si>
    <t xml:space="preserve">Energia</t>
  </si>
  <si>
    <t xml:space="preserve">AP-1009</t>
  </si>
  <si>
    <t xml:space="preserve">AP-1010</t>
  </si>
  <si>
    <t xml:space="preserve">AP-1011</t>
  </si>
  <si>
    <t xml:space="preserve">Saneamento Águas Claras</t>
  </si>
  <si>
    <t xml:space="preserve">Saneamento</t>
  </si>
  <si>
    <t xml:space="preserve">Nordeste</t>
  </si>
  <si>
    <t xml:space="preserve">AP-1012</t>
  </si>
  <si>
    <t xml:space="preserve">AP-1013</t>
  </si>
  <si>
    <t xml:space="preserve">MetalTech Indústria</t>
  </si>
  <si>
    <t xml:space="preserve">Riscos de Engenharia</t>
  </si>
  <si>
    <t xml:space="preserve">Indústria</t>
  </si>
  <si>
    <t xml:space="preserve">AP-1014</t>
  </si>
  <si>
    <t xml:space="preserve">AP-1015</t>
  </si>
  <si>
    <t xml:space="preserve">Rede Varejo Bom Preço</t>
  </si>
  <si>
    <t xml:space="preserve">Garantia Judicial</t>
  </si>
  <si>
    <t xml:space="preserve">Varejo</t>
  </si>
  <si>
    <t xml:space="preserve">2024-11-15</t>
  </si>
  <si>
    <t xml:space="preserve">AP-1016</t>
  </si>
  <si>
    <t xml:space="preserve">AP-1017</t>
  </si>
  <si>
    <t xml:space="preserve">Construtora Horizonte</t>
  </si>
  <si>
    <t xml:space="preserve">AP-1018</t>
  </si>
  <si>
    <t xml:space="preserve">AP-1019</t>
  </si>
  <si>
    <t xml:space="preserve">Logística Trans Brasil</t>
  </si>
  <si>
    <t xml:space="preserve">Logística</t>
  </si>
  <si>
    <t xml:space="preserve">AP-1020</t>
  </si>
  <si>
    <t xml:space="preserve">Porto &amp; Terminais S.A.</t>
  </si>
  <si>
    <t xml:space="preserve">AP-1021</t>
  </si>
  <si>
    <t xml:space="preserve">AP-1022</t>
  </si>
  <si>
    <t xml:space="preserve">AgroForte Cooperativa</t>
  </si>
  <si>
    <t xml:space="preserve">Agro</t>
  </si>
  <si>
    <t xml:space="preserve">Centro-Oeste</t>
  </si>
  <si>
    <t xml:space="preserve">AP-1023</t>
  </si>
  <si>
    <t xml:space="preserve">AP-1024</t>
  </si>
  <si>
    <t xml:space="preserve">TecBuild Empreendimentos</t>
  </si>
  <si>
    <t xml:space="preserve">AP-1025</t>
  </si>
  <si>
    <t xml:space="preserve">AP-1026</t>
  </si>
  <si>
    <t xml:space="preserve">Sigma Telecom</t>
  </si>
  <si>
    <t xml:space="preserve">Telecom</t>
  </si>
  <si>
    <t xml:space="preserve">AP-1027</t>
  </si>
  <si>
    <t xml:space="preserve">AP-1028</t>
  </si>
  <si>
    <t xml:space="preserve">Carteira Fiança Locatícia (pulverizada)</t>
  </si>
  <si>
    <t xml:space="preserve">Fiança Locatícia</t>
  </si>
  <si>
    <t xml:space="preserve">Imobiliário</t>
  </si>
  <si>
    <t xml:space="preserve">2025-03-01</t>
  </si>
  <si>
    <t xml:space="preserve">2026-03-01</t>
  </si>
  <si>
    <t xml:space="preserve">AP-1029</t>
  </si>
  <si>
    <t xml:space="preserve">AP-1030</t>
  </si>
  <si>
    <t xml:space="preserve">AP-1031</t>
  </si>
  <si>
    <t xml:space="preserve">AP-1032</t>
  </si>
  <si>
    <t xml:space="preserve">AP-1033</t>
  </si>
  <si>
    <t xml:space="preserve">Principais Tomadores — Indicadores de Crédito e Exposição</t>
  </si>
  <si>
    <t xml:space="preserve">Exposição = soma da IS das apólices do tomador (via fórmula). DADOS FICTÍCIOS.</t>
  </si>
  <si>
    <t xml:space="preserve">Setor</t>
  </si>
  <si>
    <t xml:space="preserve">Receita (R$ mm)</t>
  </si>
  <si>
    <t xml:space="preserve">Dívida/EBITDA</t>
  </si>
  <si>
    <t xml:space="preserve">Liquidez Corrente</t>
  </si>
  <si>
    <t xml:space="preserve">Rating Interno</t>
  </si>
  <si>
    <t xml:space="preserve">Limite Aprovado (R$ mm)</t>
  </si>
  <si>
    <t xml:space="preserve">Exposição Atual (R$ mm)</t>
  </si>
  <si>
    <t xml:space="preserve">% do Limite Usado</t>
  </si>
  <si>
    <t xml:space="preserve">BB-</t>
  </si>
  <si>
    <t xml:space="preserve">BBB</t>
  </si>
  <si>
    <t xml:space="preserve">A-</t>
  </si>
  <si>
    <t xml:space="preserve">BB+</t>
  </si>
  <si>
    <t xml:space="preserve">A</t>
  </si>
  <si>
    <t xml:space="preserve">B+</t>
  </si>
  <si>
    <t xml:space="preserve">BB</t>
  </si>
  <si>
    <t xml:space="preserve">BBB-</t>
  </si>
  <si>
    <t xml:space="preserve">Atenção: a Construtora Pilar combina alavancagem alta (4,8x), liquidez baixa (0,9) e a maior exposição da casa — próxima ou acima do limite. É o foco do exercício de subscrição.</t>
  </si>
  <si>
    <t xml:space="preserve">Data Aviso</t>
  </si>
  <si>
    <t xml:space="preserve">Valor Reservado (R$ mm)</t>
  </si>
  <si>
    <t xml:space="preserve">Causa Provável</t>
  </si>
  <si>
    <t xml:space="preserve">SN-2502</t>
  </si>
  <si>
    <t xml:space="preserve">2025-08-12</t>
  </si>
  <si>
    <t xml:space="preserve">Em análise</t>
  </si>
  <si>
    <t xml:space="preserve">Atraso e risco de inadimplemento em obra de infraestrutura</t>
  </si>
  <si>
    <t xml:space="preserve">SN-2503</t>
  </si>
  <si>
    <t xml:space="preserve">2025-07-03</t>
  </si>
  <si>
    <t xml:space="preserve">Indenizado</t>
  </si>
  <si>
    <t xml:space="preserve">Decisão judicial desfavorável ao tomador</t>
  </si>
  <si>
    <t xml:space="preserve">SN-2504</t>
  </si>
  <si>
    <t xml:space="preserve">2025-06-20</t>
  </si>
  <si>
    <t xml:space="preserve">Em regresso</t>
  </si>
  <si>
    <t xml:space="preserve">Execução parcial; recuperação em curso</t>
  </si>
  <si>
    <t xml:space="preserve">SN-2505</t>
  </si>
  <si>
    <t xml:space="preserve">2025-05-09</t>
  </si>
  <si>
    <t xml:space="preserve">Negado</t>
  </si>
  <si>
    <t xml:space="preserve">Aviso fora das condições de cobertura</t>
  </si>
  <si>
    <t xml:space="preserve">SN-2506</t>
  </si>
  <si>
    <t xml:space="preserve">2025-09-01</t>
  </si>
  <si>
    <t xml:space="preserve">Abandono parcial de obra alegado pelo segurado</t>
  </si>
  <si>
    <t xml:space="preserve">SN-2507</t>
  </si>
  <si>
    <t xml:space="preserve">2025-09-22</t>
  </si>
  <si>
    <t xml:space="preserve">Pedido de prorrogação negado; risco de inadimplemento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</si>
</sst>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.0"/>
    <numFmt numFmtId="168" formatCode="0.00%"/>
    <numFmt numFmtId="169" formatCode="#,##0.00"/>
    <numFmt numFmtId="170" formatCode="0.0\x"/>
    <numFmt numFmtId="171" formatCode="0.0"/>
    <numFmt numFmtId="172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323F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b val="true"/>
      <sz val="12"/>
      <color rgb="FF14323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4323F"/>
      <name val="Arial"/>
      <family val="0"/>
      <charset val="1"/>
    </font>
    <font>
      <b val="true"/>
      <sz val="14"/>
      <color rgb="FF14323F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2"/>
    </font>
    <font>
      <b val="true"/>
      <sz val="13"/>
      <color rgb="FF14323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4323F"/>
        <bgColor rgb="FF333333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4323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7" customFormat="false" ht="15" hidden="false" customHeight="false" outlineLevel="0" collapsed="false">
      <c r="A7" s="3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4" t="s">
        <v>5</v>
      </c>
    </row>
    <row r="11" customFormat="false" ht="15" hidden="false" customHeight="false" outlineLevel="0" collapsed="false">
      <c r="A11" s="4" t="s">
        <v>6</v>
      </c>
    </row>
    <row r="12" customFormat="false" ht="15" hidden="false" customHeight="false" outlineLevel="0" collapsed="false">
      <c r="A12" s="4" t="s">
        <v>7</v>
      </c>
    </row>
    <row r="14" customFormat="false" ht="15" hidden="false" customHeight="false" outlineLevel="0" collapsed="false">
      <c r="A14" s="3" t="s">
        <v>8</v>
      </c>
    </row>
    <row r="15" customFormat="false" ht="102.95" hidden="false" customHeight="false" outlineLevel="0" collapsed="false">
      <c r="A15" s="5" t="s">
        <v>9</v>
      </c>
      <c r="B15" s="6" t="s">
        <v>10</v>
      </c>
    </row>
    <row r="16" customFormat="false" ht="115.65" hidden="false" customHeight="false" outlineLevel="0" collapsed="false">
      <c r="A16" s="5" t="s">
        <v>11</v>
      </c>
      <c r="B16" s="6" t="s">
        <v>12</v>
      </c>
    </row>
    <row r="17" customFormat="false" ht="141" hidden="false" customHeight="false" outlineLevel="0" collapsed="false">
      <c r="A17" s="5" t="s">
        <v>13</v>
      </c>
      <c r="B17" s="6" t="s">
        <v>14</v>
      </c>
    </row>
    <row r="18" customFormat="false" ht="102.95" hidden="false" customHeight="false" outlineLevel="0" collapsed="false">
      <c r="A18" s="5" t="s">
        <v>15</v>
      </c>
      <c r="B18" s="6" t="s">
        <v>16</v>
      </c>
    </row>
    <row r="19" customFormat="false" ht="102.95" hidden="false" customHeight="false" outlineLevel="0" collapsed="false">
      <c r="A19" s="5" t="s">
        <v>17</v>
      </c>
      <c r="B19" s="6" t="s">
        <v>18</v>
      </c>
    </row>
    <row r="20" customFormat="false" ht="102.95" hidden="false" customHeight="false" outlineLevel="0" collapsed="false">
      <c r="A20" s="5" t="s">
        <v>19</v>
      </c>
      <c r="B20" s="6" t="s">
        <v>20</v>
      </c>
    </row>
  </sheetData>
  <mergeCells count="1">
    <mergeCell ref="A3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9"/>
  </cols>
  <sheetData>
    <row r="1" customFormat="false" ht="17.35" hidden="false" customHeight="false" outlineLevel="0" collapsed="false">
      <c r="A1" s="7" t="s">
        <v>21</v>
      </c>
    </row>
    <row r="2" customFormat="false" ht="15" hidden="false" customHeight="false" outlineLevel="0" collapsed="false">
      <c r="A2" s="8" t="s">
        <v>22</v>
      </c>
    </row>
    <row r="4" customFormat="false" ht="15" hidden="false" customHeight="false" outlineLevel="0" collapsed="false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</row>
    <row r="5" customFormat="false" ht="15" hidden="false" customHeight="false" outlineLevel="0" collapsed="false">
      <c r="A5" s="10" t="s">
        <v>32</v>
      </c>
      <c r="B5" s="11" t="n">
        <v>410</v>
      </c>
      <c r="C5" s="11" t="n">
        <v>420</v>
      </c>
      <c r="D5" s="11" t="n">
        <v>435</v>
      </c>
      <c r="E5" s="11" t="n">
        <v>455</v>
      </c>
      <c r="F5" s="11" t="n">
        <v>430</v>
      </c>
      <c r="G5" s="11" t="n">
        <v>445</v>
      </c>
      <c r="H5" s="11" t="n">
        <v>460</v>
      </c>
      <c r="I5" s="11" t="n">
        <v>478</v>
      </c>
    </row>
    <row r="6" customFormat="false" ht="15" hidden="false" customHeight="false" outlineLevel="0" collapsed="false">
      <c r="A6" s="10" t="s">
        <v>33</v>
      </c>
      <c r="B6" s="11" t="n">
        <v>395</v>
      </c>
      <c r="C6" s="11" t="n">
        <v>405</v>
      </c>
      <c r="D6" s="11" t="n">
        <v>420</v>
      </c>
      <c r="E6" s="11" t="n">
        <v>440</v>
      </c>
      <c r="F6" s="11" t="n">
        <v>418</v>
      </c>
      <c r="G6" s="11" t="n">
        <v>432</v>
      </c>
      <c r="H6" s="11" t="n">
        <v>447</v>
      </c>
      <c r="I6" s="11" t="n">
        <v>463</v>
      </c>
    </row>
    <row r="7" customFormat="false" ht="15" hidden="false" customHeight="false" outlineLevel="0" collapsed="false">
      <c r="A7" s="10" t="s">
        <v>34</v>
      </c>
      <c r="B7" s="11" t="n">
        <v>87</v>
      </c>
      <c r="C7" s="11" t="n">
        <v>97</v>
      </c>
      <c r="D7" s="11" t="n">
        <v>113</v>
      </c>
      <c r="E7" s="11" t="n">
        <v>136</v>
      </c>
      <c r="F7" s="11" t="n">
        <v>138</v>
      </c>
      <c r="G7" s="11" t="n">
        <v>156</v>
      </c>
      <c r="H7" s="11" t="n">
        <v>174</v>
      </c>
      <c r="I7" s="11" t="n">
        <v>195</v>
      </c>
    </row>
    <row r="8" customFormat="false" ht="15" hidden="false" customHeight="false" outlineLevel="0" collapsed="false">
      <c r="A8" s="12" t="s">
        <v>35</v>
      </c>
      <c r="B8" s="13" t="n">
        <f aca="false">B7/B6</f>
        <v>0.220253164556962</v>
      </c>
      <c r="C8" s="13" t="n">
        <f aca="false">C7/C6</f>
        <v>0.239506172839506</v>
      </c>
      <c r="D8" s="13" t="n">
        <f aca="false">D7/D6</f>
        <v>0.269047619047619</v>
      </c>
      <c r="E8" s="13" t="n">
        <f aca="false">E7/E6</f>
        <v>0.309090909090909</v>
      </c>
      <c r="F8" s="13" t="n">
        <f aca="false">F7/F6</f>
        <v>0.330143540669856</v>
      </c>
      <c r="G8" s="13" t="n">
        <f aca="false">G7/G6</f>
        <v>0.361111111111111</v>
      </c>
      <c r="H8" s="13" t="n">
        <f aca="false">H7/H6</f>
        <v>0.389261744966443</v>
      </c>
      <c r="I8" s="13" t="n">
        <f aca="false">I7/I6</f>
        <v>0.421166306695464</v>
      </c>
    </row>
    <row r="9" customFormat="false" ht="15" hidden="false" customHeight="false" outlineLevel="0" collapsed="false">
      <c r="A9" s="10" t="s">
        <v>36</v>
      </c>
      <c r="B9" s="11" t="n">
        <v>142</v>
      </c>
      <c r="C9" s="11" t="n">
        <v>146</v>
      </c>
      <c r="D9" s="11" t="n">
        <v>149</v>
      </c>
      <c r="E9" s="11" t="n">
        <v>158</v>
      </c>
      <c r="F9" s="11" t="n">
        <v>155</v>
      </c>
      <c r="G9" s="11" t="n">
        <v>158</v>
      </c>
      <c r="H9" s="11" t="n">
        <v>161</v>
      </c>
      <c r="I9" s="11" t="n">
        <v>169</v>
      </c>
    </row>
    <row r="10" customFormat="false" ht="15" hidden="false" customHeight="false" outlineLevel="0" collapsed="false">
      <c r="A10" s="10" t="s">
        <v>37</v>
      </c>
      <c r="B10" s="14" t="n">
        <f aca="false">B9/B6</f>
        <v>0.359493670886076</v>
      </c>
      <c r="C10" s="14" t="n">
        <f aca="false">C9/C6</f>
        <v>0.360493827160494</v>
      </c>
      <c r="D10" s="14" t="n">
        <f aca="false">D9/D6</f>
        <v>0.354761904761905</v>
      </c>
      <c r="E10" s="14" t="n">
        <f aca="false">E9/E6</f>
        <v>0.359090909090909</v>
      </c>
      <c r="F10" s="14" t="n">
        <f aca="false">F9/F6</f>
        <v>0.370813397129187</v>
      </c>
      <c r="G10" s="14" t="n">
        <f aca="false">G9/G6</f>
        <v>0.365740740740741</v>
      </c>
      <c r="H10" s="14" t="n">
        <f aca="false">H9/H6</f>
        <v>0.360178970917226</v>
      </c>
      <c r="I10" s="14" t="n">
        <f aca="false">I9/I6</f>
        <v>0.365010799136069</v>
      </c>
    </row>
    <row r="11" customFormat="false" ht="15" hidden="false" customHeight="false" outlineLevel="0" collapsed="false">
      <c r="A11" s="12" t="s">
        <v>38</v>
      </c>
      <c r="B11" s="13" t="n">
        <f aca="false">B8+B10</f>
        <v>0.579746835443038</v>
      </c>
      <c r="C11" s="13" t="n">
        <f aca="false">C8+C10</f>
        <v>0.6</v>
      </c>
      <c r="D11" s="13" t="n">
        <f aca="false">D8+D10</f>
        <v>0.623809523809524</v>
      </c>
      <c r="E11" s="13" t="n">
        <f aca="false">E8+E10</f>
        <v>0.668181818181818</v>
      </c>
      <c r="F11" s="13" t="n">
        <f aca="false">F8+F10</f>
        <v>0.700956937799043</v>
      </c>
      <c r="G11" s="13" t="n">
        <f aca="false">G8+G10</f>
        <v>0.726851851851852</v>
      </c>
      <c r="H11" s="13" t="n">
        <f aca="false">H8+H10</f>
        <v>0.749440715883669</v>
      </c>
      <c r="I11" s="13" t="n">
        <f aca="false">I8+I10</f>
        <v>0.786177105831533</v>
      </c>
    </row>
    <row r="12" customFormat="false" ht="15" hidden="false" customHeight="false" outlineLevel="0" collapsed="false">
      <c r="A12" s="12" t="s">
        <v>39</v>
      </c>
      <c r="B12" s="15" t="n">
        <f aca="false">B6-B7-B9</f>
        <v>166</v>
      </c>
      <c r="C12" s="15" t="n">
        <f aca="false">C6-C7-C9</f>
        <v>162</v>
      </c>
      <c r="D12" s="15" t="n">
        <f aca="false">D6-D7-D9</f>
        <v>158</v>
      </c>
      <c r="E12" s="15" t="n">
        <f aca="false">E6-E7-E9</f>
        <v>146</v>
      </c>
      <c r="F12" s="15" t="n">
        <f aca="false">F6-F7-F9</f>
        <v>125</v>
      </c>
      <c r="G12" s="15" t="n">
        <f aca="false">G6-G7-G9</f>
        <v>118</v>
      </c>
      <c r="H12" s="15" t="n">
        <f aca="false">H6-H7-H9</f>
        <v>112</v>
      </c>
      <c r="I12" s="15" t="n">
        <f aca="false">I6-I7-I9</f>
        <v>99</v>
      </c>
    </row>
    <row r="14" customFormat="false" ht="15" hidden="false" customHeight="true" outlineLevel="0" collapsed="false">
      <c r="A14" s="16" t="s">
        <v>40</v>
      </c>
      <c r="B14" s="16"/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</row>
  </sheetData>
  <mergeCells count="1">
    <mergeCell ref="A14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0" min="9" style="0" width="15"/>
    <col collapsed="false" customWidth="true" hidden="false" outlineLevel="0" max="11" min="11" style="0" width="11"/>
  </cols>
  <sheetData>
    <row r="1" customFormat="false" ht="26.85" hidden="false" customHeight="fals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</row>
    <row r="2" customFormat="false" ht="15" hidden="false" customHeight="false" outlineLevel="0" collapsed="false">
      <c r="A2" s="10" t="s">
        <v>52</v>
      </c>
      <c r="B2" s="10" t="s">
        <v>53</v>
      </c>
      <c r="C2" s="10" t="s">
        <v>54</v>
      </c>
      <c r="D2" s="10" t="s">
        <v>55</v>
      </c>
      <c r="E2" s="10" t="s">
        <v>56</v>
      </c>
      <c r="F2" s="17" t="n">
        <v>36.5</v>
      </c>
      <c r="G2" s="18" t="n">
        <v>0.0228</v>
      </c>
      <c r="H2" s="19" t="n">
        <f aca="false">F2*1000*G2</f>
        <v>832.2</v>
      </c>
      <c r="I2" s="10" t="s">
        <v>57</v>
      </c>
      <c r="J2" s="10" t="s">
        <v>58</v>
      </c>
      <c r="K2" s="10" t="s">
        <v>59</v>
      </c>
    </row>
    <row r="3" customFormat="false" ht="15" hidden="false" customHeight="false" outlineLevel="0" collapsed="false">
      <c r="A3" s="10" t="s">
        <v>60</v>
      </c>
      <c r="B3" s="10" t="s">
        <v>53</v>
      </c>
      <c r="C3" s="10" t="s">
        <v>54</v>
      </c>
      <c r="D3" s="10" t="s">
        <v>55</v>
      </c>
      <c r="E3" s="10" t="s">
        <v>56</v>
      </c>
      <c r="F3" s="17" t="n">
        <v>51</v>
      </c>
      <c r="G3" s="18" t="n">
        <v>0.0225</v>
      </c>
      <c r="H3" s="19" t="n">
        <f aca="false">F3*1000*G3</f>
        <v>1147.5</v>
      </c>
      <c r="I3" s="10" t="s">
        <v>57</v>
      </c>
      <c r="J3" s="10" t="s">
        <v>61</v>
      </c>
      <c r="K3" s="10" t="s">
        <v>62</v>
      </c>
    </row>
    <row r="4" customFormat="false" ht="15" hidden="false" customHeight="false" outlineLevel="0" collapsed="false">
      <c r="A4" s="10" t="s">
        <v>63</v>
      </c>
      <c r="B4" s="10" t="s">
        <v>53</v>
      </c>
      <c r="C4" s="10" t="s">
        <v>54</v>
      </c>
      <c r="D4" s="10" t="s">
        <v>55</v>
      </c>
      <c r="E4" s="10" t="s">
        <v>56</v>
      </c>
      <c r="F4" s="17" t="n">
        <v>28.1</v>
      </c>
      <c r="G4" s="18" t="n">
        <v>0.0242</v>
      </c>
      <c r="H4" s="19" t="n">
        <f aca="false">F4*1000*G4</f>
        <v>680.02</v>
      </c>
      <c r="I4" s="10" t="s">
        <v>57</v>
      </c>
      <c r="J4" s="10" t="s">
        <v>61</v>
      </c>
      <c r="K4" s="10" t="s">
        <v>62</v>
      </c>
    </row>
    <row r="5" customFormat="false" ht="15" hidden="false" customHeight="false" outlineLevel="0" collapsed="false">
      <c r="A5" s="10" t="s">
        <v>64</v>
      </c>
      <c r="B5" s="10" t="s">
        <v>53</v>
      </c>
      <c r="C5" s="10" t="s">
        <v>54</v>
      </c>
      <c r="D5" s="10" t="s">
        <v>55</v>
      </c>
      <c r="E5" s="10" t="s">
        <v>56</v>
      </c>
      <c r="F5" s="17" t="n">
        <v>29.7</v>
      </c>
      <c r="G5" s="18" t="n">
        <v>0.0241</v>
      </c>
      <c r="H5" s="19" t="n">
        <f aca="false">F5*1000*G5</f>
        <v>715.77</v>
      </c>
      <c r="I5" s="10" t="s">
        <v>57</v>
      </c>
      <c r="J5" s="10" t="s">
        <v>61</v>
      </c>
      <c r="K5" s="10" t="s">
        <v>62</v>
      </c>
    </row>
    <row r="6" customFormat="false" ht="15" hidden="false" customHeight="false" outlineLevel="0" collapsed="false">
      <c r="A6" s="10" t="s">
        <v>65</v>
      </c>
      <c r="B6" s="10" t="s">
        <v>66</v>
      </c>
      <c r="C6" s="10" t="s">
        <v>54</v>
      </c>
      <c r="D6" s="10" t="s">
        <v>67</v>
      </c>
      <c r="E6" s="10" t="s">
        <v>68</v>
      </c>
      <c r="F6" s="17" t="n">
        <v>50.5</v>
      </c>
      <c r="G6" s="18" t="n">
        <v>0.0145</v>
      </c>
      <c r="H6" s="19" t="n">
        <f aca="false">F6*1000*G6</f>
        <v>732.25</v>
      </c>
      <c r="I6" s="10" t="s">
        <v>57</v>
      </c>
      <c r="J6" s="10" t="s">
        <v>69</v>
      </c>
      <c r="K6" s="10" t="s">
        <v>62</v>
      </c>
    </row>
    <row r="7" customFormat="false" ht="15" hidden="false" customHeight="false" outlineLevel="0" collapsed="false">
      <c r="A7" s="10" t="s">
        <v>70</v>
      </c>
      <c r="B7" s="10" t="s">
        <v>66</v>
      </c>
      <c r="C7" s="10" t="s">
        <v>54</v>
      </c>
      <c r="D7" s="10" t="s">
        <v>67</v>
      </c>
      <c r="E7" s="10" t="s">
        <v>68</v>
      </c>
      <c r="F7" s="17" t="n">
        <v>31.6</v>
      </c>
      <c r="G7" s="18" t="n">
        <v>0.0135</v>
      </c>
      <c r="H7" s="19" t="n">
        <f aca="false">F7*1000*G7</f>
        <v>426.6</v>
      </c>
      <c r="I7" s="10" t="s">
        <v>71</v>
      </c>
      <c r="J7" s="10" t="s">
        <v>72</v>
      </c>
      <c r="K7" s="10" t="s">
        <v>62</v>
      </c>
    </row>
    <row r="8" customFormat="false" ht="15" hidden="false" customHeight="false" outlineLevel="0" collapsed="false">
      <c r="A8" s="10" t="s">
        <v>73</v>
      </c>
      <c r="B8" s="10" t="s">
        <v>66</v>
      </c>
      <c r="C8" s="10" t="s">
        <v>54</v>
      </c>
      <c r="D8" s="10" t="s">
        <v>67</v>
      </c>
      <c r="E8" s="10" t="s">
        <v>68</v>
      </c>
      <c r="F8" s="17" t="n">
        <v>43.6</v>
      </c>
      <c r="G8" s="18" t="n">
        <v>0.0144</v>
      </c>
      <c r="H8" s="19" t="n">
        <f aca="false">F8*1000*G8</f>
        <v>627.84</v>
      </c>
      <c r="I8" s="10" t="s">
        <v>74</v>
      </c>
      <c r="J8" s="10" t="s">
        <v>61</v>
      </c>
      <c r="K8" s="10" t="s">
        <v>62</v>
      </c>
    </row>
    <row r="9" customFormat="false" ht="15" hidden="false" customHeight="false" outlineLevel="0" collapsed="false">
      <c r="A9" s="10" t="s">
        <v>75</v>
      </c>
      <c r="B9" s="10" t="s">
        <v>76</v>
      </c>
      <c r="C9" s="10" t="s">
        <v>54</v>
      </c>
      <c r="D9" s="10" t="s">
        <v>77</v>
      </c>
      <c r="E9" s="10" t="s">
        <v>56</v>
      </c>
      <c r="F9" s="17" t="n">
        <v>44.5</v>
      </c>
      <c r="G9" s="18" t="n">
        <v>0.0114</v>
      </c>
      <c r="H9" s="19" t="n">
        <f aca="false">F9*1000*G9</f>
        <v>507.3</v>
      </c>
      <c r="I9" s="10" t="s">
        <v>71</v>
      </c>
      <c r="J9" s="10" t="s">
        <v>72</v>
      </c>
      <c r="K9" s="10" t="s">
        <v>62</v>
      </c>
    </row>
    <row r="10" customFormat="false" ht="15" hidden="false" customHeight="false" outlineLevel="0" collapsed="false">
      <c r="A10" s="10" t="s">
        <v>78</v>
      </c>
      <c r="B10" s="10" t="s">
        <v>76</v>
      </c>
      <c r="C10" s="10" t="s">
        <v>54</v>
      </c>
      <c r="D10" s="10" t="s">
        <v>77</v>
      </c>
      <c r="E10" s="10" t="s">
        <v>56</v>
      </c>
      <c r="F10" s="17" t="n">
        <v>44.2</v>
      </c>
      <c r="G10" s="18" t="n">
        <v>0.0117</v>
      </c>
      <c r="H10" s="19" t="n">
        <f aca="false">F10*1000*G10</f>
        <v>517.14</v>
      </c>
      <c r="I10" s="10" t="s">
        <v>57</v>
      </c>
      <c r="J10" s="10" t="s">
        <v>61</v>
      </c>
      <c r="K10" s="10" t="s">
        <v>62</v>
      </c>
    </row>
    <row r="11" customFormat="false" ht="15" hidden="false" customHeight="false" outlineLevel="0" collapsed="false">
      <c r="A11" s="10" t="s">
        <v>79</v>
      </c>
      <c r="B11" s="10" t="s">
        <v>76</v>
      </c>
      <c r="C11" s="10" t="s">
        <v>54</v>
      </c>
      <c r="D11" s="10" t="s">
        <v>77</v>
      </c>
      <c r="E11" s="10" t="s">
        <v>56</v>
      </c>
      <c r="F11" s="17" t="n">
        <v>61.5</v>
      </c>
      <c r="G11" s="18" t="n">
        <v>0.0113</v>
      </c>
      <c r="H11" s="19" t="n">
        <f aca="false">F11*1000*G11</f>
        <v>694.95</v>
      </c>
      <c r="I11" s="10" t="s">
        <v>74</v>
      </c>
      <c r="J11" s="10" t="s">
        <v>69</v>
      </c>
      <c r="K11" s="10" t="s">
        <v>62</v>
      </c>
    </row>
    <row r="12" customFormat="false" ht="15" hidden="false" customHeight="false" outlineLevel="0" collapsed="false">
      <c r="A12" s="10" t="s">
        <v>80</v>
      </c>
      <c r="B12" s="10" t="s">
        <v>81</v>
      </c>
      <c r="C12" s="10" t="s">
        <v>54</v>
      </c>
      <c r="D12" s="10" t="s">
        <v>82</v>
      </c>
      <c r="E12" s="10" t="s">
        <v>83</v>
      </c>
      <c r="F12" s="17" t="n">
        <v>44.1</v>
      </c>
      <c r="G12" s="18" t="n">
        <v>0.0182</v>
      </c>
      <c r="H12" s="19" t="n">
        <f aca="false">F12*1000*G12</f>
        <v>802.62</v>
      </c>
      <c r="I12" s="10" t="s">
        <v>74</v>
      </c>
      <c r="J12" s="10" t="s">
        <v>61</v>
      </c>
      <c r="K12" s="10" t="s">
        <v>62</v>
      </c>
    </row>
    <row r="13" customFormat="false" ht="15" hidden="false" customHeight="false" outlineLevel="0" collapsed="false">
      <c r="A13" s="10" t="s">
        <v>84</v>
      </c>
      <c r="B13" s="10" t="s">
        <v>81</v>
      </c>
      <c r="C13" s="10" t="s">
        <v>54</v>
      </c>
      <c r="D13" s="10" t="s">
        <v>82</v>
      </c>
      <c r="E13" s="10" t="s">
        <v>83</v>
      </c>
      <c r="F13" s="17" t="n">
        <v>50.2</v>
      </c>
      <c r="G13" s="18" t="n">
        <v>0.0191</v>
      </c>
      <c r="H13" s="19" t="n">
        <f aca="false">F13*1000*G13</f>
        <v>958.82</v>
      </c>
      <c r="I13" s="10" t="s">
        <v>71</v>
      </c>
      <c r="J13" s="10" t="s">
        <v>58</v>
      </c>
      <c r="K13" s="10" t="s">
        <v>62</v>
      </c>
    </row>
    <row r="14" customFormat="false" ht="15" hidden="false" customHeight="false" outlineLevel="0" collapsed="false">
      <c r="A14" s="10" t="s">
        <v>85</v>
      </c>
      <c r="B14" s="10" t="s">
        <v>86</v>
      </c>
      <c r="C14" s="10" t="s">
        <v>87</v>
      </c>
      <c r="D14" s="10" t="s">
        <v>88</v>
      </c>
      <c r="E14" s="10" t="s">
        <v>56</v>
      </c>
      <c r="F14" s="17" t="n">
        <v>29.2</v>
      </c>
      <c r="G14" s="18" t="n">
        <v>0.0092</v>
      </c>
      <c r="H14" s="19" t="n">
        <f aca="false">F14*1000*G14</f>
        <v>268.64</v>
      </c>
      <c r="I14" s="10" t="s">
        <v>74</v>
      </c>
      <c r="J14" s="10" t="s">
        <v>69</v>
      </c>
      <c r="K14" s="10" t="s">
        <v>62</v>
      </c>
    </row>
    <row r="15" customFormat="false" ht="15" hidden="false" customHeight="false" outlineLevel="0" collapsed="false">
      <c r="A15" s="10" t="s">
        <v>89</v>
      </c>
      <c r="B15" s="10" t="s">
        <v>86</v>
      </c>
      <c r="C15" s="10" t="s">
        <v>87</v>
      </c>
      <c r="D15" s="10" t="s">
        <v>88</v>
      </c>
      <c r="E15" s="10" t="s">
        <v>56</v>
      </c>
      <c r="F15" s="17" t="n">
        <v>23.6</v>
      </c>
      <c r="G15" s="18" t="n">
        <v>0.01</v>
      </c>
      <c r="H15" s="19" t="n">
        <f aca="false">F15*1000*G15</f>
        <v>236</v>
      </c>
      <c r="I15" s="10" t="s">
        <v>57</v>
      </c>
      <c r="J15" s="10" t="s">
        <v>69</v>
      </c>
      <c r="K15" s="10" t="s">
        <v>62</v>
      </c>
    </row>
    <row r="16" customFormat="false" ht="15" hidden="false" customHeight="false" outlineLevel="0" collapsed="false">
      <c r="A16" s="10" t="s">
        <v>90</v>
      </c>
      <c r="B16" s="10" t="s">
        <v>91</v>
      </c>
      <c r="C16" s="10" t="s">
        <v>92</v>
      </c>
      <c r="D16" s="10" t="s">
        <v>93</v>
      </c>
      <c r="E16" s="10" t="s">
        <v>56</v>
      </c>
      <c r="F16" s="17" t="n">
        <v>24.8</v>
      </c>
      <c r="G16" s="18" t="n">
        <v>0.0277</v>
      </c>
      <c r="H16" s="19" t="n">
        <f aca="false">F16*1000*G16</f>
        <v>686.96</v>
      </c>
      <c r="I16" s="10" t="s">
        <v>94</v>
      </c>
      <c r="J16" s="10" t="s">
        <v>69</v>
      </c>
      <c r="K16" s="10" t="s">
        <v>59</v>
      </c>
    </row>
    <row r="17" customFormat="false" ht="15" hidden="false" customHeight="false" outlineLevel="0" collapsed="false">
      <c r="A17" s="10" t="s">
        <v>95</v>
      </c>
      <c r="B17" s="10" t="s">
        <v>91</v>
      </c>
      <c r="C17" s="10" t="s">
        <v>92</v>
      </c>
      <c r="D17" s="10" t="s">
        <v>93</v>
      </c>
      <c r="E17" s="10" t="s">
        <v>56</v>
      </c>
      <c r="F17" s="17" t="n">
        <v>21.9</v>
      </c>
      <c r="G17" s="18" t="n">
        <v>0.0295</v>
      </c>
      <c r="H17" s="19" t="n">
        <f aca="false">F17*1000*G17</f>
        <v>646.05</v>
      </c>
      <c r="I17" s="10" t="s">
        <v>74</v>
      </c>
      <c r="J17" s="10" t="s">
        <v>72</v>
      </c>
      <c r="K17" s="10" t="s">
        <v>62</v>
      </c>
    </row>
    <row r="18" customFormat="false" ht="15" hidden="false" customHeight="false" outlineLevel="0" collapsed="false">
      <c r="A18" s="10" t="s">
        <v>96</v>
      </c>
      <c r="B18" s="10" t="s">
        <v>97</v>
      </c>
      <c r="C18" s="10" t="s">
        <v>54</v>
      </c>
      <c r="D18" s="10" t="s">
        <v>55</v>
      </c>
      <c r="E18" s="10" t="s">
        <v>56</v>
      </c>
      <c r="F18" s="17" t="n">
        <v>42.1</v>
      </c>
      <c r="G18" s="18" t="n">
        <v>0.0218</v>
      </c>
      <c r="H18" s="19" t="n">
        <f aca="false">F18*1000*G18</f>
        <v>917.78</v>
      </c>
      <c r="I18" s="10" t="s">
        <v>94</v>
      </c>
      <c r="J18" s="10" t="s">
        <v>58</v>
      </c>
      <c r="K18" s="10" t="s">
        <v>62</v>
      </c>
    </row>
    <row r="19" customFormat="false" ht="15" hidden="false" customHeight="false" outlineLevel="0" collapsed="false">
      <c r="A19" s="10" t="s">
        <v>98</v>
      </c>
      <c r="B19" s="10" t="s">
        <v>97</v>
      </c>
      <c r="C19" s="10" t="s">
        <v>54</v>
      </c>
      <c r="D19" s="10" t="s">
        <v>55</v>
      </c>
      <c r="E19" s="10" t="s">
        <v>56</v>
      </c>
      <c r="F19" s="17" t="n">
        <v>45.8</v>
      </c>
      <c r="G19" s="18" t="n">
        <v>0.0233</v>
      </c>
      <c r="H19" s="19" t="n">
        <f aca="false">F19*1000*G19</f>
        <v>1067.14</v>
      </c>
      <c r="I19" s="10" t="s">
        <v>94</v>
      </c>
      <c r="J19" s="10" t="s">
        <v>58</v>
      </c>
      <c r="K19" s="10" t="s">
        <v>62</v>
      </c>
    </row>
    <row r="20" customFormat="false" ht="15" hidden="false" customHeight="false" outlineLevel="0" collapsed="false">
      <c r="A20" s="10" t="s">
        <v>99</v>
      </c>
      <c r="B20" s="10" t="s">
        <v>100</v>
      </c>
      <c r="C20" s="10" t="s">
        <v>54</v>
      </c>
      <c r="D20" s="10" t="s">
        <v>101</v>
      </c>
      <c r="E20" s="10" t="s">
        <v>68</v>
      </c>
      <c r="F20" s="17" t="n">
        <v>28.8</v>
      </c>
      <c r="G20" s="18" t="n">
        <v>0.017</v>
      </c>
      <c r="H20" s="19" t="n">
        <f aca="false">F20*1000*G20</f>
        <v>489.6</v>
      </c>
      <c r="I20" s="10" t="s">
        <v>94</v>
      </c>
      <c r="J20" s="10" t="s">
        <v>72</v>
      </c>
      <c r="K20" s="10" t="s">
        <v>62</v>
      </c>
    </row>
    <row r="21" customFormat="false" ht="15" hidden="false" customHeight="false" outlineLevel="0" collapsed="false">
      <c r="A21" s="10" t="s">
        <v>102</v>
      </c>
      <c r="B21" s="10" t="s">
        <v>103</v>
      </c>
      <c r="C21" s="10" t="s">
        <v>54</v>
      </c>
      <c r="D21" s="10" t="s">
        <v>67</v>
      </c>
      <c r="E21" s="10" t="s">
        <v>83</v>
      </c>
      <c r="F21" s="17" t="n">
        <v>85.3</v>
      </c>
      <c r="G21" s="18" t="n">
        <v>0.0121</v>
      </c>
      <c r="H21" s="19" t="n">
        <f aca="false">F21*1000*G21</f>
        <v>1032.13</v>
      </c>
      <c r="I21" s="10" t="s">
        <v>74</v>
      </c>
      <c r="J21" s="10" t="s">
        <v>58</v>
      </c>
      <c r="K21" s="10" t="s">
        <v>62</v>
      </c>
    </row>
    <row r="22" customFormat="false" ht="15" hidden="false" customHeight="false" outlineLevel="0" collapsed="false">
      <c r="A22" s="10" t="s">
        <v>104</v>
      </c>
      <c r="B22" s="10" t="s">
        <v>103</v>
      </c>
      <c r="C22" s="10" t="s">
        <v>54</v>
      </c>
      <c r="D22" s="10" t="s">
        <v>67</v>
      </c>
      <c r="E22" s="10" t="s">
        <v>83</v>
      </c>
      <c r="F22" s="17" t="n">
        <v>96.9</v>
      </c>
      <c r="G22" s="18" t="n">
        <v>0.0109</v>
      </c>
      <c r="H22" s="19" t="n">
        <f aca="false">F22*1000*G22</f>
        <v>1056.21</v>
      </c>
      <c r="I22" s="10" t="s">
        <v>57</v>
      </c>
      <c r="J22" s="10" t="s">
        <v>69</v>
      </c>
      <c r="K22" s="10" t="s">
        <v>62</v>
      </c>
    </row>
    <row r="23" customFormat="false" ht="15" hidden="false" customHeight="false" outlineLevel="0" collapsed="false">
      <c r="A23" s="10" t="s">
        <v>105</v>
      </c>
      <c r="B23" s="10" t="s">
        <v>106</v>
      </c>
      <c r="C23" s="10" t="s">
        <v>54</v>
      </c>
      <c r="D23" s="10" t="s">
        <v>107</v>
      </c>
      <c r="E23" s="10" t="s">
        <v>108</v>
      </c>
      <c r="F23" s="17" t="n">
        <v>23.9</v>
      </c>
      <c r="G23" s="18" t="n">
        <v>0.015</v>
      </c>
      <c r="H23" s="19" t="n">
        <f aca="false">F23*1000*G23</f>
        <v>358.5</v>
      </c>
      <c r="I23" s="10" t="s">
        <v>71</v>
      </c>
      <c r="J23" s="10" t="s">
        <v>61</v>
      </c>
      <c r="K23" s="10" t="s">
        <v>62</v>
      </c>
    </row>
    <row r="24" customFormat="false" ht="15" hidden="false" customHeight="false" outlineLevel="0" collapsed="false">
      <c r="A24" s="10" t="s">
        <v>109</v>
      </c>
      <c r="B24" s="10" t="s">
        <v>106</v>
      </c>
      <c r="C24" s="10" t="s">
        <v>54</v>
      </c>
      <c r="D24" s="10" t="s">
        <v>107</v>
      </c>
      <c r="E24" s="10" t="s">
        <v>108</v>
      </c>
      <c r="F24" s="17" t="n">
        <v>32.2</v>
      </c>
      <c r="G24" s="18" t="n">
        <v>0.0154</v>
      </c>
      <c r="H24" s="19" t="n">
        <f aca="false">F24*1000*G24</f>
        <v>495.88</v>
      </c>
      <c r="I24" s="10" t="s">
        <v>94</v>
      </c>
      <c r="J24" s="10" t="s">
        <v>58</v>
      </c>
      <c r="K24" s="10" t="s">
        <v>62</v>
      </c>
    </row>
    <row r="25" customFormat="false" ht="15" hidden="false" customHeight="false" outlineLevel="0" collapsed="false">
      <c r="A25" s="10" t="s">
        <v>110</v>
      </c>
      <c r="B25" s="10" t="s">
        <v>111</v>
      </c>
      <c r="C25" s="10" t="s">
        <v>54</v>
      </c>
      <c r="D25" s="10" t="s">
        <v>55</v>
      </c>
      <c r="E25" s="10" t="s">
        <v>56</v>
      </c>
      <c r="F25" s="17" t="n">
        <v>17.7</v>
      </c>
      <c r="G25" s="18" t="n">
        <v>0.024</v>
      </c>
      <c r="H25" s="19" t="n">
        <f aca="false">F25*1000*G25</f>
        <v>424.8</v>
      </c>
      <c r="I25" s="10" t="s">
        <v>74</v>
      </c>
      <c r="J25" s="10" t="s">
        <v>61</v>
      </c>
      <c r="K25" s="10" t="s">
        <v>62</v>
      </c>
    </row>
    <row r="26" customFormat="false" ht="15" hidden="false" customHeight="false" outlineLevel="0" collapsed="false">
      <c r="A26" s="10" t="s">
        <v>112</v>
      </c>
      <c r="B26" s="10" t="s">
        <v>111</v>
      </c>
      <c r="C26" s="10" t="s">
        <v>54</v>
      </c>
      <c r="D26" s="10" t="s">
        <v>55</v>
      </c>
      <c r="E26" s="10" t="s">
        <v>56</v>
      </c>
      <c r="F26" s="17" t="n">
        <v>28.3</v>
      </c>
      <c r="G26" s="18" t="n">
        <v>0.0262</v>
      </c>
      <c r="H26" s="19" t="n">
        <f aca="false">F26*1000*G26</f>
        <v>741.46</v>
      </c>
      <c r="I26" s="10" t="s">
        <v>74</v>
      </c>
      <c r="J26" s="10" t="s">
        <v>69</v>
      </c>
      <c r="K26" s="10" t="s">
        <v>62</v>
      </c>
    </row>
    <row r="27" customFormat="false" ht="15" hidden="false" customHeight="false" outlineLevel="0" collapsed="false">
      <c r="A27" s="10" t="s">
        <v>113</v>
      </c>
      <c r="B27" s="10" t="s">
        <v>114</v>
      </c>
      <c r="C27" s="10" t="s">
        <v>87</v>
      </c>
      <c r="D27" s="10" t="s">
        <v>115</v>
      </c>
      <c r="E27" s="10" t="s">
        <v>56</v>
      </c>
      <c r="F27" s="17" t="n">
        <v>68.3</v>
      </c>
      <c r="G27" s="18" t="n">
        <v>0.0148</v>
      </c>
      <c r="H27" s="19" t="n">
        <f aca="false">F27*1000*G27</f>
        <v>1010.84</v>
      </c>
      <c r="I27" s="10" t="s">
        <v>94</v>
      </c>
      <c r="J27" s="10" t="s">
        <v>61</v>
      </c>
      <c r="K27" s="10" t="s">
        <v>62</v>
      </c>
    </row>
    <row r="28" customFormat="false" ht="15" hidden="false" customHeight="false" outlineLevel="0" collapsed="false">
      <c r="A28" s="10" t="s">
        <v>116</v>
      </c>
      <c r="B28" s="10" t="s">
        <v>114</v>
      </c>
      <c r="C28" s="10" t="s">
        <v>87</v>
      </c>
      <c r="D28" s="10" t="s">
        <v>115</v>
      </c>
      <c r="E28" s="10" t="s">
        <v>56</v>
      </c>
      <c r="F28" s="17" t="n">
        <v>38.4</v>
      </c>
      <c r="G28" s="18" t="n">
        <v>0.0134</v>
      </c>
      <c r="H28" s="19" t="n">
        <f aca="false">F28*1000*G28</f>
        <v>514.56</v>
      </c>
      <c r="I28" s="10" t="s">
        <v>71</v>
      </c>
      <c r="J28" s="10" t="s">
        <v>61</v>
      </c>
      <c r="K28" s="10" t="s">
        <v>62</v>
      </c>
    </row>
    <row r="29" customFormat="false" ht="15" hidden="false" customHeight="false" outlineLevel="0" collapsed="false">
      <c r="A29" s="10" t="s">
        <v>117</v>
      </c>
      <c r="B29" s="10" t="s">
        <v>118</v>
      </c>
      <c r="C29" s="10" t="s">
        <v>119</v>
      </c>
      <c r="D29" s="10" t="s">
        <v>120</v>
      </c>
      <c r="E29" s="10" t="s">
        <v>56</v>
      </c>
      <c r="F29" s="20" t="n">
        <v>0.11</v>
      </c>
      <c r="G29" s="18" t="n">
        <v>0.0466</v>
      </c>
      <c r="H29" s="19" t="n">
        <f aca="false">F29*1000*G29</f>
        <v>5.126</v>
      </c>
      <c r="I29" s="10" t="s">
        <v>121</v>
      </c>
      <c r="J29" s="10" t="s">
        <v>122</v>
      </c>
      <c r="K29" s="10" t="s">
        <v>62</v>
      </c>
    </row>
    <row r="30" customFormat="false" ht="15" hidden="false" customHeight="false" outlineLevel="0" collapsed="false">
      <c r="A30" s="10" t="s">
        <v>123</v>
      </c>
      <c r="B30" s="10" t="s">
        <v>118</v>
      </c>
      <c r="C30" s="10" t="s">
        <v>119</v>
      </c>
      <c r="D30" s="10" t="s">
        <v>120</v>
      </c>
      <c r="E30" s="10" t="s">
        <v>68</v>
      </c>
      <c r="F30" s="20" t="n">
        <v>0.23</v>
      </c>
      <c r="G30" s="18" t="n">
        <v>0.0301</v>
      </c>
      <c r="H30" s="19" t="n">
        <f aca="false">F30*1000*G30</f>
        <v>6.923</v>
      </c>
      <c r="I30" s="10" t="s">
        <v>121</v>
      </c>
      <c r="J30" s="10" t="s">
        <v>122</v>
      </c>
      <c r="K30" s="10" t="s">
        <v>62</v>
      </c>
    </row>
    <row r="31" customFormat="false" ht="15" hidden="false" customHeight="false" outlineLevel="0" collapsed="false">
      <c r="A31" s="10" t="s">
        <v>124</v>
      </c>
      <c r="B31" s="10" t="s">
        <v>118</v>
      </c>
      <c r="C31" s="10" t="s">
        <v>119</v>
      </c>
      <c r="D31" s="10" t="s">
        <v>120</v>
      </c>
      <c r="E31" s="10" t="s">
        <v>68</v>
      </c>
      <c r="F31" s="20" t="n">
        <v>0.37</v>
      </c>
      <c r="G31" s="18" t="n">
        <v>0.0422</v>
      </c>
      <c r="H31" s="19" t="n">
        <f aca="false">F31*1000*G31</f>
        <v>15.614</v>
      </c>
      <c r="I31" s="10" t="s">
        <v>121</v>
      </c>
      <c r="J31" s="10" t="s">
        <v>122</v>
      </c>
      <c r="K31" s="10" t="s">
        <v>62</v>
      </c>
    </row>
    <row r="32" customFormat="false" ht="15" hidden="false" customHeight="false" outlineLevel="0" collapsed="false">
      <c r="A32" s="10" t="s">
        <v>125</v>
      </c>
      <c r="B32" s="10" t="s">
        <v>118</v>
      </c>
      <c r="C32" s="10" t="s">
        <v>119</v>
      </c>
      <c r="D32" s="10" t="s">
        <v>120</v>
      </c>
      <c r="E32" s="10" t="s">
        <v>83</v>
      </c>
      <c r="F32" s="20" t="n">
        <v>0.58</v>
      </c>
      <c r="G32" s="18" t="n">
        <v>0.0438</v>
      </c>
      <c r="H32" s="19" t="n">
        <f aca="false">F32*1000*G32</f>
        <v>25.404</v>
      </c>
      <c r="I32" s="10" t="s">
        <v>121</v>
      </c>
      <c r="J32" s="10" t="s">
        <v>122</v>
      </c>
      <c r="K32" s="10" t="s">
        <v>62</v>
      </c>
    </row>
    <row r="33" customFormat="false" ht="15" hidden="false" customHeight="false" outlineLevel="0" collapsed="false">
      <c r="A33" s="10" t="s">
        <v>126</v>
      </c>
      <c r="B33" s="10" t="s">
        <v>118</v>
      </c>
      <c r="C33" s="10" t="s">
        <v>119</v>
      </c>
      <c r="D33" s="10" t="s">
        <v>120</v>
      </c>
      <c r="E33" s="10" t="s">
        <v>83</v>
      </c>
      <c r="F33" s="20" t="n">
        <v>0.58</v>
      </c>
      <c r="G33" s="18" t="n">
        <v>0.0431</v>
      </c>
      <c r="H33" s="19" t="n">
        <f aca="false">F33*1000*G33</f>
        <v>24.998</v>
      </c>
      <c r="I33" s="10" t="s">
        <v>121</v>
      </c>
      <c r="J33" s="10" t="s">
        <v>122</v>
      </c>
      <c r="K33" s="10" t="s">
        <v>62</v>
      </c>
    </row>
    <row r="34" customFormat="false" ht="15" hidden="false" customHeight="false" outlineLevel="0" collapsed="false">
      <c r="A34" s="10" t="s">
        <v>127</v>
      </c>
      <c r="B34" s="10" t="s">
        <v>118</v>
      </c>
      <c r="C34" s="10" t="s">
        <v>119</v>
      </c>
      <c r="D34" s="10" t="s">
        <v>120</v>
      </c>
      <c r="E34" s="10" t="s">
        <v>83</v>
      </c>
      <c r="F34" s="20" t="n">
        <v>0.13</v>
      </c>
      <c r="G34" s="18" t="n">
        <v>0.048</v>
      </c>
      <c r="H34" s="19" t="n">
        <f aca="false">F34*1000*G34</f>
        <v>6.24</v>
      </c>
      <c r="I34" s="10" t="s">
        <v>121</v>
      </c>
      <c r="J34" s="10" t="s">
        <v>122</v>
      </c>
      <c r="K34" s="1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8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21" t="s">
        <v>128</v>
      </c>
    </row>
    <row r="2" customFormat="false" ht="15" hidden="false" customHeight="false" outlineLevel="0" collapsed="false">
      <c r="A2" s="8" t="s">
        <v>129</v>
      </c>
    </row>
    <row r="4" customFormat="false" ht="26.85" hidden="false" customHeight="false" outlineLevel="0" collapsed="false">
      <c r="A4" s="9" t="s">
        <v>42</v>
      </c>
      <c r="B4" s="9" t="s">
        <v>130</v>
      </c>
      <c r="C4" s="9" t="s">
        <v>131</v>
      </c>
      <c r="D4" s="9" t="s">
        <v>132</v>
      </c>
      <c r="E4" s="9" t="s">
        <v>133</v>
      </c>
      <c r="F4" s="9" t="s">
        <v>134</v>
      </c>
      <c r="G4" s="9" t="s">
        <v>135</v>
      </c>
      <c r="H4" s="9" t="s">
        <v>136</v>
      </c>
      <c r="I4" s="9" t="s">
        <v>137</v>
      </c>
    </row>
    <row r="5" customFormat="false" ht="15" hidden="false" customHeight="false" outlineLevel="0" collapsed="false">
      <c r="A5" s="10" t="s">
        <v>53</v>
      </c>
      <c r="B5" s="10" t="s">
        <v>55</v>
      </c>
      <c r="C5" s="19" t="n">
        <v>1850</v>
      </c>
      <c r="D5" s="22" t="n">
        <v>4.8</v>
      </c>
      <c r="E5" s="23" t="n">
        <v>0.9</v>
      </c>
      <c r="F5" s="10" t="s">
        <v>138</v>
      </c>
      <c r="G5" s="19" t="n">
        <v>180</v>
      </c>
      <c r="H5" s="17" t="n">
        <f aca="false">SUMIF(Apólices!$B$2:$B$34,A5,Apólices!$F$2:$F$34)</f>
        <v>145.3</v>
      </c>
      <c r="I5" s="24" t="n">
        <f aca="false">H5/G5</f>
        <v>0.807222222222222</v>
      </c>
    </row>
    <row r="6" customFormat="false" ht="15" hidden="false" customHeight="false" outlineLevel="0" collapsed="false">
      <c r="A6" s="10" t="s">
        <v>66</v>
      </c>
      <c r="B6" s="10" t="s">
        <v>67</v>
      </c>
      <c r="C6" s="19" t="n">
        <v>2200</v>
      </c>
      <c r="D6" s="22" t="n">
        <v>3.1</v>
      </c>
      <c r="E6" s="23" t="n">
        <v>1.2</v>
      </c>
      <c r="F6" s="10" t="s">
        <v>139</v>
      </c>
      <c r="G6" s="19" t="n">
        <v>150</v>
      </c>
      <c r="H6" s="17" t="n">
        <f aca="false">SUMIF(Apólices!$B$2:$B$34,A6,Apólices!$F$2:$F$34)</f>
        <v>125.7</v>
      </c>
      <c r="I6" s="24" t="n">
        <f aca="false">H6/G6</f>
        <v>0.838</v>
      </c>
    </row>
    <row r="7" customFormat="false" ht="15" hidden="false" customHeight="false" outlineLevel="0" collapsed="false">
      <c r="A7" s="10" t="s">
        <v>76</v>
      </c>
      <c r="B7" s="10" t="s">
        <v>77</v>
      </c>
      <c r="C7" s="19" t="n">
        <v>3400</v>
      </c>
      <c r="D7" s="22" t="n">
        <v>2.4</v>
      </c>
      <c r="E7" s="23" t="n">
        <v>1.4</v>
      </c>
      <c r="F7" s="10" t="s">
        <v>140</v>
      </c>
      <c r="G7" s="19" t="n">
        <v>200</v>
      </c>
      <c r="H7" s="17" t="n">
        <f aca="false">SUMIF(Apólices!$B$2:$B$34,A7,Apólices!$F$2:$F$34)</f>
        <v>150.2</v>
      </c>
      <c r="I7" s="24" t="n">
        <f aca="false">H7/G7</f>
        <v>0.751</v>
      </c>
    </row>
    <row r="8" customFormat="false" ht="15" hidden="false" customHeight="false" outlineLevel="0" collapsed="false">
      <c r="A8" s="10" t="s">
        <v>81</v>
      </c>
      <c r="B8" s="10" t="s">
        <v>82</v>
      </c>
      <c r="C8" s="19" t="n">
        <v>1200</v>
      </c>
      <c r="D8" s="22" t="n">
        <v>3.6</v>
      </c>
      <c r="E8" s="23" t="n">
        <v>1.1</v>
      </c>
      <c r="F8" s="10" t="s">
        <v>141</v>
      </c>
      <c r="G8" s="19" t="n">
        <v>90</v>
      </c>
      <c r="H8" s="17" t="n">
        <f aca="false">SUMIF(Apólices!$B$2:$B$34,A8,Apólices!$F$2:$F$34)</f>
        <v>94.3</v>
      </c>
      <c r="I8" s="24" t="n">
        <f aca="false">H8/G8</f>
        <v>1.04777777777778</v>
      </c>
    </row>
    <row r="9" customFormat="false" ht="15" hidden="false" customHeight="false" outlineLevel="0" collapsed="false">
      <c r="A9" s="10" t="s">
        <v>86</v>
      </c>
      <c r="B9" s="10" t="s">
        <v>88</v>
      </c>
      <c r="C9" s="19" t="n">
        <v>800</v>
      </c>
      <c r="D9" s="22" t="n">
        <v>2</v>
      </c>
      <c r="E9" s="23" t="n">
        <v>1.6</v>
      </c>
      <c r="F9" s="10" t="s">
        <v>142</v>
      </c>
      <c r="G9" s="19" t="n">
        <v>60</v>
      </c>
      <c r="H9" s="17" t="n">
        <f aca="false">SUMIF(Apólices!$B$2:$B$34,A9,Apólices!$F$2:$F$34)</f>
        <v>52.8</v>
      </c>
      <c r="I9" s="24" t="n">
        <f aca="false">H9/G9</f>
        <v>0.88</v>
      </c>
    </row>
    <row r="10" customFormat="false" ht="15" hidden="false" customHeight="false" outlineLevel="0" collapsed="false">
      <c r="A10" s="10" t="s">
        <v>91</v>
      </c>
      <c r="B10" s="10" t="s">
        <v>93</v>
      </c>
      <c r="C10" s="19" t="n">
        <v>1500</v>
      </c>
      <c r="D10" s="22" t="n">
        <v>5.2</v>
      </c>
      <c r="E10" s="23" t="n">
        <v>0.8</v>
      </c>
      <c r="F10" s="10" t="s">
        <v>143</v>
      </c>
      <c r="G10" s="19" t="n">
        <v>70</v>
      </c>
      <c r="H10" s="17" t="n">
        <f aca="false">SUMIF(Apólices!$B$2:$B$34,A10,Apólices!$F$2:$F$34)</f>
        <v>46.7</v>
      </c>
      <c r="I10" s="24" t="n">
        <f aca="false">H10/G10</f>
        <v>0.667142857142857</v>
      </c>
    </row>
    <row r="11" customFormat="false" ht="15" hidden="false" customHeight="false" outlineLevel="0" collapsed="false">
      <c r="A11" s="10" t="s">
        <v>97</v>
      </c>
      <c r="B11" s="10" t="s">
        <v>55</v>
      </c>
      <c r="C11" s="19" t="n">
        <v>950</v>
      </c>
      <c r="D11" s="22" t="n">
        <v>3.9</v>
      </c>
      <c r="E11" s="23" t="n">
        <v>1</v>
      </c>
      <c r="F11" s="10" t="s">
        <v>144</v>
      </c>
      <c r="G11" s="19" t="n">
        <v>80</v>
      </c>
      <c r="H11" s="17" t="n">
        <f aca="false">SUMIF(Apólices!$B$2:$B$34,A11,Apólices!$F$2:$F$34)</f>
        <v>87.9</v>
      </c>
      <c r="I11" s="24" t="n">
        <f aca="false">H11/G11</f>
        <v>1.09875</v>
      </c>
    </row>
    <row r="12" customFormat="false" ht="15" hidden="false" customHeight="false" outlineLevel="0" collapsed="false">
      <c r="A12" s="10" t="s">
        <v>100</v>
      </c>
      <c r="B12" s="10" t="s">
        <v>101</v>
      </c>
      <c r="C12" s="19" t="n">
        <v>620</v>
      </c>
      <c r="D12" s="22" t="n">
        <v>2.7</v>
      </c>
      <c r="E12" s="23" t="n">
        <v>1.3</v>
      </c>
      <c r="F12" s="10" t="s">
        <v>145</v>
      </c>
      <c r="G12" s="19" t="n">
        <v>45</v>
      </c>
      <c r="H12" s="17" t="n">
        <f aca="false">SUMIF(Apólices!$B$2:$B$34,A12,Apólices!$F$2:$F$34)</f>
        <v>28.8</v>
      </c>
      <c r="I12" s="24" t="n">
        <f aca="false">H12/G12</f>
        <v>0.64</v>
      </c>
    </row>
    <row r="13" customFormat="false" ht="15" hidden="false" customHeight="false" outlineLevel="0" collapsed="false">
      <c r="A13" s="10" t="s">
        <v>103</v>
      </c>
      <c r="B13" s="10" t="s">
        <v>67</v>
      </c>
      <c r="C13" s="19" t="n">
        <v>2800</v>
      </c>
      <c r="D13" s="22" t="n">
        <v>2.2</v>
      </c>
      <c r="E13" s="23" t="n">
        <v>1.5</v>
      </c>
      <c r="F13" s="10" t="s">
        <v>140</v>
      </c>
      <c r="G13" s="19" t="n">
        <v>160</v>
      </c>
      <c r="H13" s="17" t="n">
        <f aca="false">SUMIF(Apólices!$B$2:$B$34,A13,Apólices!$F$2:$F$34)</f>
        <v>182.2</v>
      </c>
      <c r="I13" s="24" t="n">
        <f aca="false">H13/G13</f>
        <v>1.13875</v>
      </c>
    </row>
    <row r="14" customFormat="false" ht="15" hidden="false" customHeight="false" outlineLevel="0" collapsed="false">
      <c r="A14" s="10" t="s">
        <v>106</v>
      </c>
      <c r="B14" s="10" t="s">
        <v>107</v>
      </c>
      <c r="C14" s="19" t="n">
        <v>1100</v>
      </c>
      <c r="D14" s="22" t="n">
        <v>2.9</v>
      </c>
      <c r="E14" s="23" t="n">
        <v>1.4</v>
      </c>
      <c r="F14" s="10" t="s">
        <v>139</v>
      </c>
      <c r="G14" s="19" t="n">
        <v>75</v>
      </c>
      <c r="H14" s="17" t="n">
        <f aca="false">SUMIF(Apólices!$B$2:$B$34,A14,Apólices!$F$2:$F$34)</f>
        <v>56.1</v>
      </c>
      <c r="I14" s="24" t="n">
        <f aca="false">H14/G14</f>
        <v>0.748</v>
      </c>
    </row>
    <row r="15" customFormat="false" ht="15" hidden="false" customHeight="false" outlineLevel="0" collapsed="false">
      <c r="A15" s="10" t="s">
        <v>111</v>
      </c>
      <c r="B15" s="10" t="s">
        <v>55</v>
      </c>
      <c r="C15" s="19" t="n">
        <v>540</v>
      </c>
      <c r="D15" s="22" t="n">
        <v>4.4</v>
      </c>
      <c r="E15" s="23" t="n">
        <v>0.95</v>
      </c>
      <c r="F15" s="10" t="s">
        <v>138</v>
      </c>
      <c r="G15" s="19" t="n">
        <v>50</v>
      </c>
      <c r="H15" s="17" t="n">
        <f aca="false">SUMIF(Apólices!$B$2:$B$34,A15,Apólices!$F$2:$F$34)</f>
        <v>46</v>
      </c>
      <c r="I15" s="24" t="n">
        <f aca="false">H15/G15</f>
        <v>0.92</v>
      </c>
    </row>
    <row r="16" customFormat="false" ht="15" hidden="false" customHeight="false" outlineLevel="0" collapsed="false">
      <c r="A16" s="10" t="s">
        <v>114</v>
      </c>
      <c r="B16" s="10" t="s">
        <v>115</v>
      </c>
      <c r="C16" s="19" t="n">
        <v>1900</v>
      </c>
      <c r="D16" s="22" t="n">
        <v>3.3</v>
      </c>
      <c r="E16" s="23" t="n">
        <v>1.2</v>
      </c>
      <c r="F16" s="10" t="s">
        <v>139</v>
      </c>
      <c r="G16" s="19" t="n">
        <v>110</v>
      </c>
      <c r="H16" s="17" t="n">
        <f aca="false">SUMIF(Apólices!$B$2:$B$34,A16,Apólices!$F$2:$F$34)</f>
        <v>106.7</v>
      </c>
      <c r="I16" s="24" t="n">
        <f aca="false">H16/G16</f>
        <v>0.97</v>
      </c>
    </row>
    <row r="18" customFormat="false" ht="15" hidden="false" customHeight="true" outlineLevel="0" collapsed="false">
      <c r="A18" s="25" t="s">
        <v>146</v>
      </c>
      <c r="B18" s="25"/>
      <c r="C18" s="25"/>
      <c r="D18" s="25"/>
      <c r="E18" s="25"/>
      <c r="F18" s="25"/>
      <c r="G18" s="25"/>
      <c r="H18" s="25"/>
      <c r="I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  <c r="H19" s="25"/>
      <c r="I19" s="25"/>
    </row>
  </sheetData>
  <mergeCells count="1">
    <mergeCell ref="A18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6.85" hidden="false" customHeight="false" outlineLevel="0" collapsed="false">
      <c r="A1" s="9" t="s">
        <v>59</v>
      </c>
      <c r="B1" s="9" t="s">
        <v>41</v>
      </c>
      <c r="C1" s="9" t="s">
        <v>42</v>
      </c>
      <c r="D1" s="9" t="s">
        <v>43</v>
      </c>
      <c r="E1" s="9" t="s">
        <v>147</v>
      </c>
      <c r="F1" s="9" t="s">
        <v>148</v>
      </c>
      <c r="G1" s="9" t="s">
        <v>51</v>
      </c>
      <c r="H1" s="9" t="s">
        <v>149</v>
      </c>
    </row>
    <row r="2" customFormat="false" ht="26.85" hidden="false" customHeight="false" outlineLevel="0" collapsed="false">
      <c r="A2" s="10" t="s">
        <v>150</v>
      </c>
      <c r="B2" s="10" t="s">
        <v>52</v>
      </c>
      <c r="C2" s="10" t="s">
        <v>53</v>
      </c>
      <c r="D2" s="10" t="s">
        <v>54</v>
      </c>
      <c r="E2" s="10" t="s">
        <v>151</v>
      </c>
      <c r="F2" s="17" t="n">
        <v>38</v>
      </c>
      <c r="G2" s="10" t="s">
        <v>152</v>
      </c>
      <c r="H2" s="26" t="s">
        <v>153</v>
      </c>
    </row>
    <row r="3" customFormat="false" ht="15" hidden="false" customHeight="false" outlineLevel="0" collapsed="false">
      <c r="A3" s="10" t="s">
        <v>154</v>
      </c>
      <c r="B3" s="10" t="s">
        <v>125</v>
      </c>
      <c r="C3" s="10" t="s">
        <v>91</v>
      </c>
      <c r="D3" s="10" t="s">
        <v>92</v>
      </c>
      <c r="E3" s="10" t="s">
        <v>155</v>
      </c>
      <c r="F3" s="17" t="n">
        <v>6.5</v>
      </c>
      <c r="G3" s="10" t="s">
        <v>156</v>
      </c>
      <c r="H3" s="26" t="s">
        <v>157</v>
      </c>
    </row>
    <row r="4" customFormat="false" ht="15" hidden="false" customHeight="false" outlineLevel="0" collapsed="false">
      <c r="A4" s="10" t="s">
        <v>158</v>
      </c>
      <c r="B4" s="10" t="s">
        <v>89</v>
      </c>
      <c r="C4" s="10" t="s">
        <v>81</v>
      </c>
      <c r="D4" s="10" t="s">
        <v>54</v>
      </c>
      <c r="E4" s="10" t="s">
        <v>159</v>
      </c>
      <c r="F4" s="17" t="n">
        <v>4.2</v>
      </c>
      <c r="G4" s="10" t="s">
        <v>160</v>
      </c>
      <c r="H4" s="26" t="s">
        <v>161</v>
      </c>
    </row>
    <row r="5" customFormat="false" ht="15" hidden="false" customHeight="false" outlineLevel="0" collapsed="false">
      <c r="A5" s="10" t="s">
        <v>162</v>
      </c>
      <c r="B5" s="10" t="s">
        <v>73</v>
      </c>
      <c r="C5" s="10" t="s">
        <v>76</v>
      </c>
      <c r="D5" s="10" t="s">
        <v>54</v>
      </c>
      <c r="E5" s="10" t="s">
        <v>163</v>
      </c>
      <c r="F5" s="17" t="n">
        <v>2.1</v>
      </c>
      <c r="G5" s="10" t="s">
        <v>164</v>
      </c>
      <c r="H5" s="26" t="s">
        <v>165</v>
      </c>
    </row>
    <row r="6" customFormat="false" ht="15" hidden="false" customHeight="false" outlineLevel="0" collapsed="false">
      <c r="A6" s="10" t="s">
        <v>166</v>
      </c>
      <c r="B6" s="10" t="s">
        <v>112</v>
      </c>
      <c r="C6" s="10" t="s">
        <v>97</v>
      </c>
      <c r="D6" s="10" t="s">
        <v>54</v>
      </c>
      <c r="E6" s="10" t="s">
        <v>167</v>
      </c>
      <c r="F6" s="17" t="n">
        <v>9.7</v>
      </c>
      <c r="G6" s="10" t="s">
        <v>152</v>
      </c>
      <c r="H6" s="26" t="s">
        <v>168</v>
      </c>
    </row>
    <row r="7" customFormat="false" ht="26.85" hidden="false" customHeight="false" outlineLevel="0" collapsed="false">
      <c r="A7" s="10" t="s">
        <v>169</v>
      </c>
      <c r="B7" s="10" t="s">
        <v>63</v>
      </c>
      <c r="C7" s="10" t="s">
        <v>53</v>
      </c>
      <c r="D7" s="10" t="s">
        <v>54</v>
      </c>
      <c r="E7" s="10" t="s">
        <v>170</v>
      </c>
      <c r="F7" s="17" t="n">
        <v>15.3</v>
      </c>
      <c r="G7" s="10" t="s">
        <v>152</v>
      </c>
      <c r="H7" s="26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2026-06-03T09:33:15Z</dcterms:created>
  <dc:creator>openpyxl</dc:creator>
  <dc:description/>
  <dc:language>en-US</dc:language>
  <cp:lastModifiedBy/>
  <dcterms:modified xsi:type="dcterms:W3CDTF">2026-06-03T09:33:15Z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